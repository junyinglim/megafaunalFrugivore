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yinglim/Dropbox/Projects/2019/palms/projects/megafaunalFrugivore/"/>
    </mc:Choice>
  </mc:AlternateContent>
  <xr:revisionPtr revIDLastSave="0" documentId="13_ncr:1_{1CD62735-911E-4F4E-81BF-B50D4270EB01}" xr6:coauthVersionLast="36" xr6:coauthVersionMax="36" xr10:uidLastSave="{00000000-0000-0000-0000-000000000000}"/>
  <bookViews>
    <workbookView xWindow="2900" yWindow="620" windowWidth="28040" windowHeight="17440" xr2:uid="{D04C0908-A95D-514B-B305-0D007AFD71BB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1" l="1"/>
  <c r="B16" i="1"/>
  <c r="B20" i="1"/>
  <c r="L4" i="1"/>
  <c r="F4" i="1"/>
  <c r="J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Lim Jun Ying</author>
  </authors>
  <commentList>
    <comment ref="H3" authorId="0" shapeId="0" xr:uid="{B6E270F9-C4B7-CF48-969B-9769A3F88127}">
      <text>
        <r>
          <rPr>
            <b/>
            <sz val="10"/>
            <color rgb="FF000000"/>
            <rFont val="Tahoma"/>
            <family val="2"/>
          </rPr>
          <t>Lim Jun Ying: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Used IUCN polygons / phylacine rasters / manual imput
</t>
        </r>
      </text>
    </comment>
    <comment ref="C4" authorId="0" shapeId="0" xr:uid="{D49ECF6A-CA98-5C43-909B-6DE9CC6F7516}">
      <text>
        <r>
          <rPr>
            <b/>
            <sz val="10"/>
            <color rgb="FF000000"/>
            <rFont val="Tahoma"/>
            <family val="2"/>
          </rPr>
          <t>Lim Jun Ying: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Before syn, only 1822/1905 overlapped with phylacine,
</t>
        </r>
        <r>
          <rPr>
            <sz val="10"/>
            <color rgb="FF000000"/>
            <rFont val="Tahoma"/>
            <family val="2"/>
          </rPr>
          <t>after syn, up to 1874</t>
        </r>
      </text>
    </comment>
    <comment ref="H6" authorId="0" shapeId="0" xr:uid="{C4358B3E-07A6-C447-A075-280CC8D6C405}">
      <text>
        <r>
          <rPr>
            <b/>
            <sz val="10"/>
            <color rgb="FF000000"/>
            <rFont val="Tahoma"/>
            <family val="2"/>
          </rPr>
          <t>Lim Jun Ying: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Because none of them had name changes</t>
        </r>
      </text>
    </comment>
  </commentList>
</comments>
</file>

<file path=xl/sharedStrings.xml><?xml version="1.0" encoding="utf-8"?>
<sst xmlns="http://schemas.openxmlformats.org/spreadsheetml/2006/main" count="36" uniqueCount="27">
  <si>
    <t>MammalDiet (Fruit = 1, 2)</t>
  </si>
  <si>
    <t>MammalDiet (Fruit = 3)</t>
  </si>
  <si>
    <t>Zero ranges</t>
  </si>
  <si>
    <t>Total</t>
  </si>
  <si>
    <t>Extinct herbivores (Diet = 100)</t>
  </si>
  <si>
    <t>Extinct herbivores (Diet = 50-99)</t>
  </si>
  <si>
    <t>-</t>
  </si>
  <si>
    <t>MamalDiet (Fruit &gt; 1)</t>
  </si>
  <si>
    <t>After syn.</t>
  </si>
  <si>
    <t>No. species</t>
  </si>
  <si>
    <t>Species with no range change</t>
  </si>
  <si>
    <t>After syn. + data</t>
  </si>
  <si>
    <t>Total no of species</t>
  </si>
  <si>
    <t>Present-natural range modifications</t>
  </si>
  <si>
    <t>No of species</t>
  </si>
  <si>
    <t>After syn + data</t>
  </si>
  <si>
    <t>Expect no sp</t>
  </si>
  <si>
    <t>Extant + extinct presnat total</t>
  </si>
  <si>
    <t>Expected if data was complete</t>
  </si>
  <si>
    <t>Present natural dataset</t>
  </si>
  <si>
    <t>Current dataset</t>
  </si>
  <si>
    <t>Extant total</t>
  </si>
  <si>
    <t>Extant only</t>
  </si>
  <si>
    <t>Expected extant if data complete</t>
  </si>
  <si>
    <t>Expected total was complete</t>
  </si>
  <si>
    <t>In total out of the 1894 extant taxa, we have current and present-natural ranges for 1806 and 1894 respectively.</t>
  </si>
  <si>
    <t>Excluding areas with no palms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</si>
</sst>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FDF5-DBEC-6940-AFCF-F81F11852B4C}">
  <dimension ref="A2:L23"/>
  <sheetViews>
    <sheetView tabSelected="1" workbookViewId="0">
      <selection activeCell="G22" sqref="G22"/>
    </sheetView>
  </sheetViews>
  <sheetFormatPr baseColWidth="10" defaultRowHeight="16" x14ac:dyDescent="0.2"/>
  <cols>
    <col min="1" max="1" width="31.83203125" customWidth="1"/>
    <col min="4" max="4" width="15.6640625" customWidth="1"/>
    <col min="5" max="6" width="11" customWidth="1"/>
    <col min="7" max="7" width="13.83203125" customWidth="1"/>
    <col min="8" max="8" width="12" customWidth="1"/>
    <col min="9" max="9" width="14.6640625" customWidth="1"/>
    <col min="10" max="10" width="23.1640625" customWidth="1"/>
  </cols>
  <sheetData>
    <row r="2" spans="1:12" x14ac:dyDescent="0.2">
      <c r="B2" s="5" t="s">
        <v>12</v>
      </c>
      <c r="C2" s="5"/>
      <c r="D2" s="5"/>
      <c r="E2" s="3" t="s">
        <v>2</v>
      </c>
      <c r="F2" s="3" t="s">
        <v>16</v>
      </c>
      <c r="G2" s="4" t="s">
        <v>10</v>
      </c>
      <c r="H2" s="4"/>
      <c r="I2" s="4"/>
      <c r="J2" s="6" t="s">
        <v>13</v>
      </c>
      <c r="K2" s="6"/>
    </row>
    <row r="3" spans="1:12" x14ac:dyDescent="0.2">
      <c r="B3" s="2" t="s">
        <v>9</v>
      </c>
      <c r="C3" s="2" t="s">
        <v>8</v>
      </c>
      <c r="D3" s="2" t="s">
        <v>11</v>
      </c>
      <c r="E3" s="3"/>
      <c r="F3" s="3"/>
      <c r="G3" s="1" t="s">
        <v>14</v>
      </c>
      <c r="H3" s="1" t="s">
        <v>8</v>
      </c>
      <c r="I3" s="1" t="s">
        <v>11</v>
      </c>
      <c r="J3" s="6"/>
      <c r="K3" s="6" t="s">
        <v>15</v>
      </c>
    </row>
    <row r="4" spans="1:12" x14ac:dyDescent="0.2">
      <c r="A4" t="s">
        <v>7</v>
      </c>
      <c r="B4" s="2">
        <v>1950</v>
      </c>
      <c r="C4" s="2">
        <v>1930</v>
      </c>
      <c r="D4" s="2">
        <v>1881</v>
      </c>
      <c r="E4" s="3">
        <v>2</v>
      </c>
      <c r="F4" s="3">
        <f>D4-E4</f>
        <v>1879</v>
      </c>
      <c r="G4" s="1">
        <v>1641</v>
      </c>
      <c r="H4" s="1">
        <v>1626</v>
      </c>
      <c r="I4" s="1">
        <v>1625</v>
      </c>
      <c r="J4" s="6">
        <f>C4-E4-H4</f>
        <v>302</v>
      </c>
      <c r="K4" s="6">
        <v>254</v>
      </c>
      <c r="L4">
        <f>I4+K4</f>
        <v>1879</v>
      </c>
    </row>
    <row r="5" spans="1:12" x14ac:dyDescent="0.2">
      <c r="A5" t="s">
        <v>0</v>
      </c>
      <c r="B5" s="2">
        <v>1914</v>
      </c>
      <c r="C5" s="2">
        <v>1894</v>
      </c>
      <c r="D5" s="2">
        <v>1845</v>
      </c>
      <c r="E5" s="3">
        <v>2</v>
      </c>
      <c r="F5" s="3"/>
      <c r="G5" s="1"/>
      <c r="H5" s="1"/>
      <c r="I5" s="1"/>
      <c r="J5" s="6"/>
      <c r="K5" s="6"/>
    </row>
    <row r="6" spans="1:12" x14ac:dyDescent="0.2">
      <c r="A6" t="s">
        <v>1</v>
      </c>
      <c r="B6" s="2">
        <v>36</v>
      </c>
      <c r="C6" s="2">
        <v>36</v>
      </c>
      <c r="D6" s="2">
        <v>36</v>
      </c>
      <c r="E6" s="3"/>
      <c r="F6" s="3"/>
      <c r="G6" s="1">
        <v>31</v>
      </c>
      <c r="H6" s="1">
        <v>31</v>
      </c>
      <c r="I6" s="1"/>
      <c r="J6" s="6">
        <v>4</v>
      </c>
      <c r="K6" s="6"/>
    </row>
    <row r="7" spans="1:12" x14ac:dyDescent="0.2">
      <c r="A7" t="s">
        <v>4</v>
      </c>
      <c r="B7" s="2">
        <v>178</v>
      </c>
      <c r="C7" s="2" t="s">
        <v>6</v>
      </c>
      <c r="D7" s="2"/>
      <c r="E7" s="3" t="s">
        <v>6</v>
      </c>
      <c r="F7" s="3"/>
      <c r="G7" s="1" t="s">
        <v>6</v>
      </c>
      <c r="H7" s="1" t="s">
        <v>6</v>
      </c>
      <c r="I7" s="1"/>
      <c r="J7" s="6"/>
      <c r="K7" s="6"/>
    </row>
    <row r="8" spans="1:12" x14ac:dyDescent="0.2">
      <c r="A8" t="s">
        <v>5</v>
      </c>
      <c r="B8" s="2">
        <v>55</v>
      </c>
      <c r="C8" s="2" t="s">
        <v>6</v>
      </c>
      <c r="D8" s="2"/>
      <c r="E8" s="3" t="s">
        <v>6</v>
      </c>
      <c r="F8" s="3"/>
      <c r="G8" s="1" t="s">
        <v>6</v>
      </c>
      <c r="H8" s="1" t="s">
        <v>6</v>
      </c>
      <c r="I8" s="1"/>
      <c r="J8" s="6"/>
      <c r="K8" s="6"/>
    </row>
    <row r="9" spans="1:12" x14ac:dyDescent="0.2">
      <c r="A9" t="s">
        <v>3</v>
      </c>
      <c r="B9" s="2"/>
      <c r="C9" s="2"/>
      <c r="D9" s="2"/>
      <c r="E9" s="3"/>
      <c r="F9" s="3"/>
      <c r="G9" s="1">
        <v>1641</v>
      </c>
      <c r="H9" s="1"/>
      <c r="I9" s="1"/>
      <c r="J9" s="6"/>
      <c r="K9" s="6"/>
    </row>
    <row r="11" spans="1:12" x14ac:dyDescent="0.2">
      <c r="C11" s="7"/>
    </row>
    <row r="12" spans="1:12" x14ac:dyDescent="0.2">
      <c r="A12" t="s">
        <v>19</v>
      </c>
      <c r="D12" t="s">
        <v>26</v>
      </c>
    </row>
    <row r="13" spans="1:12" x14ac:dyDescent="0.2">
      <c r="A13" t="s">
        <v>22</v>
      </c>
      <c r="B13">
        <v>1844</v>
      </c>
    </row>
    <row r="14" spans="1:12" x14ac:dyDescent="0.2">
      <c r="A14" t="s">
        <v>23</v>
      </c>
      <c r="B14">
        <f>D5</f>
        <v>1845</v>
      </c>
    </row>
    <row r="15" spans="1:12" x14ac:dyDescent="0.2">
      <c r="A15" t="s">
        <v>17</v>
      </c>
      <c r="B15" s="2">
        <v>2022</v>
      </c>
      <c r="D15">
        <v>1971</v>
      </c>
    </row>
    <row r="16" spans="1:12" x14ac:dyDescent="0.2">
      <c r="A16" t="s">
        <v>24</v>
      </c>
      <c r="B16">
        <f>D5+B7+B8</f>
        <v>2078</v>
      </c>
    </row>
    <row r="18" spans="1:4" x14ac:dyDescent="0.2">
      <c r="A18" t="s">
        <v>20</v>
      </c>
    </row>
    <row r="19" spans="1:4" x14ac:dyDescent="0.2">
      <c r="A19" t="s">
        <v>21</v>
      </c>
      <c r="B19">
        <v>1806</v>
      </c>
      <c r="D19">
        <v>1759</v>
      </c>
    </row>
    <row r="20" spans="1:4" x14ac:dyDescent="0.2">
      <c r="A20" t="s">
        <v>18</v>
      </c>
      <c r="B20">
        <f>D4-D6</f>
        <v>1845</v>
      </c>
    </row>
    <row r="23" spans="1:4" x14ac:dyDescent="0.2">
      <c r="A23" t="s">
        <v>25</v>
      </c>
    </row>
  </sheetData>
  <mergeCells count="2">
    <mergeCell ref="G2:I2"/>
    <mergeCell ref="B2:D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 Jun Ying</dc:creator>
  <cp:lastModifiedBy>Lim Jun Ying</cp:lastModifiedBy>
  <dcterms:created xsi:type="dcterms:W3CDTF">2018-12-05T10:41:21Z</dcterms:created>
  <dcterms:modified xsi:type="dcterms:W3CDTF">2018-12-06T18:43:22Z</dcterms:modified>
</cp:coreProperties>
</file>